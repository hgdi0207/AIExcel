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区域汇总" sheetId="2" state="visible" r:id="rId2"/>
    <sheet xmlns:r="http://schemas.openxmlformats.org/officeDocument/2006/relationships" name="月度目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2D5F8A"/>
        <bgColor rgb="002D5F8A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Region</t>
        </is>
      </c>
      <c r="B1" s="1" t="inlineStr">
        <is>
          <t>Month</t>
        </is>
      </c>
      <c r="C1" s="1" t="inlineStr">
        <is>
          <t>Revenue</t>
        </is>
      </c>
      <c r="D1" s="1" t="inlineStr">
        <is>
          <t>Cost</t>
        </is>
      </c>
      <c r="E1" s="1" t="inlineStr">
        <is>
          <t>Profit</t>
        </is>
      </c>
    </row>
    <row r="2">
      <c r="A2" s="2" t="inlineStr">
        <is>
          <t>North</t>
        </is>
      </c>
      <c r="B2" s="2" t="inlineStr">
        <is>
          <t>2025-01</t>
        </is>
      </c>
      <c r="C2" s="3" t="n">
        <v>125000</v>
      </c>
      <c r="D2" s="3" t="n">
        <v>82000</v>
      </c>
      <c r="E2" s="3" t="n">
        <v>43000</v>
      </c>
    </row>
    <row r="3">
      <c r="A3" s="4" t="inlineStr">
        <is>
          <t>South</t>
        </is>
      </c>
      <c r="B3" s="4" t="inlineStr">
        <is>
          <t>2025-01</t>
        </is>
      </c>
      <c r="C3" s="5" t="n">
        <v>98000</v>
      </c>
      <c r="D3" s="5" t="n">
        <v>67000</v>
      </c>
      <c r="E3" s="5" t="n">
        <v>31000</v>
      </c>
    </row>
    <row r="4">
      <c r="A4" s="2" t="inlineStr">
        <is>
          <t>East</t>
        </is>
      </c>
      <c r="B4" s="2" t="inlineStr">
        <is>
          <t>2025-01</t>
        </is>
      </c>
      <c r="C4" s="3" t="n">
        <v>110000</v>
      </c>
      <c r="D4" s="3" t="n">
        <v>75000</v>
      </c>
      <c r="E4" s="3" t="n">
        <v>35000</v>
      </c>
    </row>
    <row r="5">
      <c r="A5" s="4" t="inlineStr">
        <is>
          <t>West</t>
        </is>
      </c>
      <c r="B5" s="4" t="inlineStr">
        <is>
          <t>2025-01</t>
        </is>
      </c>
      <c r="C5" s="5" t="n">
        <v>87000</v>
      </c>
      <c r="D5" s="5" t="n">
        <v>60000</v>
      </c>
      <c r="E5" s="5" t="n">
        <v>27000</v>
      </c>
    </row>
    <row r="6">
      <c r="A6" s="2" t="inlineStr">
        <is>
          <t>North</t>
        </is>
      </c>
      <c r="B6" s="2" t="inlineStr">
        <is>
          <t>2025-02</t>
        </is>
      </c>
      <c r="C6" s="3" t="n">
        <v>132000</v>
      </c>
      <c r="D6" s="3" t="n">
        <v>86000</v>
      </c>
      <c r="E6" s="3" t="n">
        <v>46000</v>
      </c>
    </row>
    <row r="7">
      <c r="A7" s="4" t="inlineStr">
        <is>
          <t>South</t>
        </is>
      </c>
      <c r="B7" s="4" t="inlineStr">
        <is>
          <t>2025-02</t>
        </is>
      </c>
      <c r="C7" s="5" t="n">
        <v>105000</v>
      </c>
      <c r="D7" s="5" t="n">
        <v>71000</v>
      </c>
      <c r="E7" s="5" t="n">
        <v>34000</v>
      </c>
    </row>
    <row r="8">
      <c r="A8" s="2" t="inlineStr">
        <is>
          <t>East</t>
        </is>
      </c>
      <c r="B8" s="2" t="inlineStr">
        <is>
          <t>2025-02</t>
        </is>
      </c>
      <c r="C8" s="3" t="n">
        <v>118000</v>
      </c>
      <c r="D8" s="3" t="n">
        <v>79000</v>
      </c>
      <c r="E8" s="3" t="n">
        <v>39000</v>
      </c>
    </row>
    <row r="9">
      <c r="A9" s="4" t="inlineStr">
        <is>
          <t>West</t>
        </is>
      </c>
      <c r="B9" s="4" t="inlineStr">
        <is>
          <t>2025-02</t>
        </is>
      </c>
      <c r="C9" s="5" t="n">
        <v>92000</v>
      </c>
      <c r="D9" s="5" t="n">
        <v>63000</v>
      </c>
      <c r="E9" s="5" t="n">
        <v>29000</v>
      </c>
    </row>
    <row r="10">
      <c r="A10" s="2" t="inlineStr">
        <is>
          <t>North</t>
        </is>
      </c>
      <c r="B10" s="2" t="inlineStr">
        <is>
          <t>2025-03</t>
        </is>
      </c>
      <c r="C10" s="3" t="n">
        <v>140000</v>
      </c>
      <c r="D10" s="3" t="n">
        <v>90000</v>
      </c>
      <c r="E10" s="3" t="n">
        <v>50000</v>
      </c>
    </row>
    <row r="11">
      <c r="A11" s="4" t="inlineStr">
        <is>
          <t>South</t>
        </is>
      </c>
      <c r="B11" s="4" t="inlineStr">
        <is>
          <t>2025-03</t>
        </is>
      </c>
      <c r="C11" s="5" t="n">
        <v>112000</v>
      </c>
      <c r="D11" s="5" t="n">
        <v>76000</v>
      </c>
      <c r="E11" s="5" t="n">
        <v>36000</v>
      </c>
    </row>
    <row r="12">
      <c r="A12" s="2" t="inlineStr">
        <is>
          <t>East</t>
        </is>
      </c>
      <c r="B12" s="2" t="inlineStr">
        <is>
          <t>2025-03</t>
        </is>
      </c>
      <c r="C12" s="3" t="n">
        <v>125000</v>
      </c>
      <c r="D12" s="3" t="n">
        <v>83000</v>
      </c>
      <c r="E12" s="3" t="n">
        <v>42000</v>
      </c>
    </row>
    <row r="13">
      <c r="A13" s="4" t="inlineStr">
        <is>
          <t>West</t>
        </is>
      </c>
      <c r="B13" s="4" t="inlineStr">
        <is>
          <t>2025-03</t>
        </is>
      </c>
      <c r="C13" s="5" t="n">
        <v>96000</v>
      </c>
      <c r="D13" s="5" t="n">
        <v>66000</v>
      </c>
      <c r="E13" s="5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Region</t>
        </is>
      </c>
      <c r="B1" s="1" t="inlineStr">
        <is>
          <t>Total Revenue</t>
        </is>
      </c>
      <c r="C1" s="1" t="inlineStr">
        <is>
          <t>Total Cost</t>
        </is>
      </c>
      <c r="D1" s="1" t="inlineStr">
        <is>
          <t>Total Profit</t>
        </is>
      </c>
      <c r="E1" s="1" t="inlineStr">
        <is>
          <t>Profit Margin</t>
        </is>
      </c>
    </row>
    <row r="2">
      <c r="A2" s="2" t="inlineStr">
        <is>
          <t>North</t>
        </is>
      </c>
      <c r="B2" s="3">
        <f>SUMIFS('销售明细'!C:C,'销售明细'!A:A,A2)</f>
        <v/>
      </c>
      <c r="C2" s="3">
        <f>SUMIFS('销售明细'!D:D,'销售明细'!A:A,A2)</f>
        <v/>
      </c>
      <c r="D2" s="3">
        <f>SUMIFS('销售明细'!E:E,'销售明细'!A:A,A2)</f>
        <v/>
      </c>
      <c r="E2" s="6">
        <f>IF(B2=0,"",D2/B2)</f>
        <v/>
      </c>
    </row>
    <row r="3">
      <c r="A3" s="4" t="inlineStr">
        <is>
          <t>South</t>
        </is>
      </c>
      <c r="B3" s="5">
        <f>SUMIFS('销售明细'!C:C,'销售明细'!A:A,A3)</f>
        <v/>
      </c>
      <c r="C3" s="5">
        <f>SUMIFS('销售明细'!D:D,'销售明细'!A:A,A3)</f>
        <v/>
      </c>
      <c r="D3" s="5">
        <f>SUMIFS('销售明细'!E:E,'销售明细'!A:A,A3)</f>
        <v/>
      </c>
      <c r="E3" s="7">
        <f>IF(B3=0,"",D3/B3)</f>
        <v/>
      </c>
    </row>
    <row r="4">
      <c r="A4" s="2" t="inlineStr">
        <is>
          <t>East</t>
        </is>
      </c>
      <c r="B4" s="3">
        <f>SUMIFS('销售明细'!C:C,'销售明细'!A:A,A4)</f>
        <v/>
      </c>
      <c r="C4" s="3">
        <f>SUMIFS('销售明细'!D:D,'销售明细'!A:A,A4)</f>
        <v/>
      </c>
      <c r="D4" s="3">
        <f>SUMIFS('销售明细'!E:E,'销售明细'!A:A,A4)</f>
        <v/>
      </c>
      <c r="E4" s="6">
        <f>IF(B4=0,"",D4/B4)</f>
        <v/>
      </c>
    </row>
    <row r="5">
      <c r="A5" s="4" t="inlineStr">
        <is>
          <t>West</t>
        </is>
      </c>
      <c r="B5" s="5">
        <f>SUMIFS('销售明细'!C:C,'销售明细'!A:A,A5)</f>
        <v/>
      </c>
      <c r="C5" s="5">
        <f>SUMIFS('销售明细'!D:D,'销售明细'!A:A,A5)</f>
        <v/>
      </c>
      <c r="D5" s="5">
        <f>SUMIFS('销售明细'!E:E,'销售明细'!A:A,A5)</f>
        <v/>
      </c>
      <c r="E5" s="7">
        <f>IF(B5=0,"",D5/B5)</f>
        <v/>
      </c>
    </row>
    <row r="6">
      <c r="A6" s="8" t="inlineStr">
        <is>
          <t>Total</t>
        </is>
      </c>
      <c r="B6" s="9">
        <f>SUM(B2:B5)</f>
        <v/>
      </c>
      <c r="C6" s="9">
        <f>SUM(C2:C5)</f>
        <v/>
      </c>
      <c r="D6" s="9">
        <f>SUM(D2:D5)</f>
        <v/>
      </c>
      <c r="E6" s="10">
        <f>IF(B6=0,"",D6/B6)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</cols>
  <sheetData>
    <row r="1">
      <c r="A1" s="1" t="inlineStr">
        <is>
          <t>Month</t>
        </is>
      </c>
      <c r="B1" s="1" t="inlineStr">
        <is>
          <t>Revenue Target</t>
        </is>
      </c>
      <c r="C1" s="1" t="inlineStr">
        <is>
          <t>Cost Budget</t>
        </is>
      </c>
      <c r="D1" s="1" t="inlineStr">
        <is>
          <t>Profit Target</t>
        </is>
      </c>
    </row>
    <row r="2">
      <c r="A2" s="2" t="inlineStr">
        <is>
          <t>2025-01</t>
        </is>
      </c>
      <c r="B2" s="3" t="n">
        <v>430000</v>
      </c>
      <c r="C2" s="3" t="n">
        <v>290000</v>
      </c>
      <c r="D2" s="3" t="n">
        <v>140000</v>
      </c>
    </row>
    <row r="3">
      <c r="A3" s="4" t="inlineStr">
        <is>
          <t>2025-02</t>
        </is>
      </c>
      <c r="B3" s="5" t="n">
        <v>450000</v>
      </c>
      <c r="C3" s="5" t="n">
        <v>300000</v>
      </c>
      <c r="D3" s="5" t="n">
        <v>150000</v>
      </c>
    </row>
    <row r="4">
      <c r="A4" s="2" t="inlineStr">
        <is>
          <t>2025-03</t>
        </is>
      </c>
      <c r="B4" s="3" t="n">
        <v>480000</v>
      </c>
      <c r="C4" s="3" t="n">
        <v>310000</v>
      </c>
      <c r="D4" s="3" t="n">
        <v>170000</v>
      </c>
    </row>
    <row r="5">
      <c r="A5" s="8" t="inlineStr">
        <is>
          <t>Total</t>
        </is>
      </c>
      <c r="B5" s="9">
        <f>SUM(B2:B4)</f>
        <v/>
      </c>
      <c r="C5" s="9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2026-08-16T09:38:36Z</dcterms:created>
  <dcterms:modified xmlns:dcterms="http://purl.org/dc/terms/" xmlns:xsi="http://www.w3.org/2001/XMLSchema-instance" xsi:type="dcterms:W3CDTF">2026-08-16T09:38:36Z</dcterms:modified>
</cp:coreProperties>
</file>